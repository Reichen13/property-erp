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esktop\"/>
    </mc:Choice>
  </mc:AlternateContent>
  <xr:revisionPtr revIDLastSave="0" documentId="13_ncr:1_{B7C45121-1AAE-4812-96C9-9C80F6F229E2}" xr6:coauthVersionLast="47" xr6:coauthVersionMax="47" xr10:uidLastSave="{00000000-0000-0000-0000-000000000000}"/>
  <bookViews>
    <workbookView xWindow="-103" yWindow="-103" windowWidth="22149" windowHeight="13200" xr2:uid="{55CC2F54-C5DA-4A81-8EE5-D5EAFE1A4401}"/>
  </bookViews>
  <sheets>
    <sheet name="资源档案批量导入示例" sheetId="2" r:id="rId1"/>
    <sheet name="Sheet1" sheetId="1" r:id="rId2"/>
  </sheets>
  <externalReferences>
    <externalReference r:id="rId3"/>
  </externalReferences>
  <definedNames>
    <definedName name="ExternalData_1" localSheetId="0" hidden="1">资源档案批量导入示例!#REF!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2"/>
  <c r="A3" i="2"/>
  <c r="B3" i="2"/>
  <c r="F3" i="2"/>
  <c r="G3" i="2" s="1"/>
  <c r="A4" i="2"/>
  <c r="B4" i="2"/>
  <c r="F4" i="2"/>
  <c r="G4" i="2" s="1"/>
  <c r="A5" i="2"/>
  <c r="B5" i="2"/>
  <c r="F5" i="2"/>
  <c r="G5" i="2"/>
  <c r="A6" i="2"/>
  <c r="B6" i="2"/>
  <c r="F6" i="2"/>
  <c r="G6" i="2"/>
  <c r="A7" i="2"/>
  <c r="B7" i="2"/>
  <c r="F7" i="2"/>
  <c r="G7" i="2"/>
  <c r="A8" i="2"/>
  <c r="B8" i="2"/>
  <c r="F8" i="2"/>
  <c r="G8" i="2" s="1"/>
  <c r="A9" i="2"/>
  <c r="B9" i="2"/>
  <c r="F9" i="2"/>
  <c r="G9" i="2"/>
  <c r="A10" i="2"/>
  <c r="B10" i="2"/>
  <c r="F10" i="2"/>
  <c r="G10" i="2"/>
  <c r="A11" i="2"/>
  <c r="B11" i="2"/>
  <c r="F11" i="2"/>
  <c r="G11" i="2"/>
  <c r="A12" i="2"/>
  <c r="B12" i="2"/>
  <c r="F12" i="2"/>
  <c r="G12" i="2"/>
  <c r="A13" i="2"/>
  <c r="B13" i="2"/>
  <c r="F13" i="2"/>
  <c r="G13" i="2"/>
  <c r="A14" i="2"/>
  <c r="B14" i="2"/>
  <c r="F14" i="2"/>
  <c r="G14" i="2"/>
  <c r="A15" i="2"/>
  <c r="B15" i="2"/>
  <c r="F15" i="2"/>
  <c r="G15" i="2" s="1"/>
  <c r="A16" i="2"/>
  <c r="B16" i="2"/>
  <c r="F16" i="2"/>
  <c r="G16" i="2"/>
  <c r="A17" i="2"/>
  <c r="B17" i="2"/>
  <c r="F17" i="2"/>
  <c r="G17" i="2"/>
  <c r="A18" i="2"/>
  <c r="B18" i="2"/>
  <c r="F18" i="2"/>
  <c r="G18" i="2"/>
  <c r="B2" i="2"/>
  <c r="A2" i="2"/>
  <c r="F2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EE8F7-912E-40D6-810D-63D25EC2020E}" keepAlive="1" name="查询 - 资源档案批量导入示例" description="与工作簿中“资源档案批量导入示例”查询的连接。" type="5" refreshedVersion="0" background="1">
    <dbPr connection="Provider=Microsoft.Mashup.OleDb.1;Data Source=$Workbook$;Location=资源档案批量导入示例;Extended Properties=&quot;&quot;" command="SELECT * FROM [资源档案批量导入示例]"/>
  </connection>
</connections>
</file>

<file path=xl/sharedStrings.xml><?xml version="1.0" encoding="utf-8"?>
<sst xmlns="http://schemas.openxmlformats.org/spreadsheetml/2006/main" count="30" uniqueCount="14">
  <si>
    <t>房号</t>
  </si>
  <si>
    <t>业主</t>
  </si>
  <si>
    <t>业主电话</t>
  </si>
  <si>
    <t>面积</t>
  </si>
  <si>
    <t>费用项目</t>
  </si>
  <si>
    <t>项目月标准金额</t>
  </si>
  <si>
    <t>历史欠费</t>
  </si>
  <si>
    <t>欠费周期起</t>
  </si>
  <si>
    <t>欠费周期终</t>
  </si>
  <si>
    <t>预缴金额</t>
  </si>
  <si>
    <t>已缴金额</t>
  </si>
  <si>
    <t>减免金额</t>
  </si>
  <si>
    <t>会计归属期</t>
  </si>
  <si>
    <t>物业费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</si>
</sst>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ason\xwechat_files\hellobeauty_bb2d\msg\file\2026-01\&#21488;&#36134;2025.8.6-2026.8.5(1).xlsx" TargetMode="External"/><Relationship Id="rId1" Type="http://schemas.openxmlformats.org/officeDocument/2006/relationships/externalLinkPath" Target="file:///D:\Jason\xwechat_files\hellobeauty_bb2d\msg\file\2026-01\&#21488;&#36134;2025.8.6-2026.8.5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物业费收费明细"/>
    </sheetNames>
    <sheetDataSet>
      <sheetData sheetId="0">
        <row r="4">
          <cell r="B4" t="str">
            <v>1-1-201</v>
          </cell>
          <cell r="C4" t="str">
            <v>高露露</v>
          </cell>
          <cell r="G4">
            <v>128.79</v>
          </cell>
          <cell r="K4">
            <v>2199.2180400000002</v>
          </cell>
        </row>
        <row r="5">
          <cell r="B5" t="str">
            <v>1-1-202</v>
          </cell>
          <cell r="C5" t="str">
            <v>刘铮铮</v>
          </cell>
          <cell r="G5">
            <v>129.13</v>
          </cell>
          <cell r="K5">
            <v>2205.0238800000002</v>
          </cell>
        </row>
        <row r="6">
          <cell r="B6" t="str">
            <v>1-1-301</v>
          </cell>
          <cell r="C6" t="str">
            <v>刘爱娟</v>
          </cell>
          <cell r="G6">
            <v>128.79</v>
          </cell>
          <cell r="K6">
            <v>2216.2183199999999</v>
          </cell>
        </row>
        <row r="7">
          <cell r="B7" t="str">
            <v>1-1-302</v>
          </cell>
          <cell r="C7" t="str">
            <v>余梅珍</v>
          </cell>
          <cell r="G7">
            <v>129.13</v>
          </cell>
          <cell r="K7">
            <v>2222.0690399999999</v>
          </cell>
        </row>
        <row r="8">
          <cell r="B8" t="str">
            <v>1-1-401</v>
          </cell>
          <cell r="C8" t="str">
            <v>陈敏 潘荣兵</v>
          </cell>
          <cell r="G8">
            <v>128.79</v>
          </cell>
          <cell r="K8">
            <v>2233.2186000000002</v>
          </cell>
        </row>
        <row r="9">
          <cell r="B9" t="str">
            <v>1-1-402</v>
          </cell>
          <cell r="C9" t="str">
            <v>刘阿生</v>
          </cell>
          <cell r="G9">
            <v>129.13</v>
          </cell>
          <cell r="K9">
            <v>2239.1142</v>
          </cell>
        </row>
        <row r="10">
          <cell r="B10" t="str">
            <v>1-1-501</v>
          </cell>
          <cell r="C10" t="str">
            <v>宁科 蒋敏</v>
          </cell>
          <cell r="G10">
            <v>128.79</v>
          </cell>
          <cell r="K10">
            <v>2250.2188799999999</v>
          </cell>
        </row>
        <row r="11">
          <cell r="B11" t="str">
            <v>1-1-502</v>
          </cell>
          <cell r="C11" t="str">
            <v>蒋学军</v>
          </cell>
          <cell r="G11">
            <v>129.13</v>
          </cell>
          <cell r="K11">
            <v>2256.1593600000001</v>
          </cell>
        </row>
        <row r="12">
          <cell r="B12" t="str">
            <v>1-1-601</v>
          </cell>
          <cell r="C12" t="str">
            <v>夏林保*</v>
          </cell>
          <cell r="G12">
            <v>128.79</v>
          </cell>
          <cell r="K12">
            <v>2267.2191600000001</v>
          </cell>
        </row>
        <row r="13">
          <cell r="B13" t="str">
            <v>1-1-602</v>
          </cell>
          <cell r="C13" t="str">
            <v>陶荣福</v>
          </cell>
          <cell r="G13">
            <v>129.13</v>
          </cell>
          <cell r="K13">
            <v>2273.2045199999998</v>
          </cell>
        </row>
        <row r="14">
          <cell r="B14" t="str">
            <v>1-1-701</v>
          </cell>
          <cell r="C14" t="str">
            <v>戴朝琪*</v>
          </cell>
          <cell r="G14">
            <v>128.79</v>
          </cell>
          <cell r="K14">
            <v>2284.2194399999998</v>
          </cell>
        </row>
        <row r="15">
          <cell r="B15" t="str">
            <v>1-1-702</v>
          </cell>
          <cell r="C15" t="str">
            <v>石建芳</v>
          </cell>
          <cell r="G15">
            <v>129.13</v>
          </cell>
          <cell r="K15">
            <v>2290.2496799999999</v>
          </cell>
        </row>
        <row r="16">
          <cell r="B16" t="str">
            <v>1-1-801</v>
          </cell>
          <cell r="C16" t="str">
            <v>秦立平</v>
          </cell>
          <cell r="G16">
            <v>128.79</v>
          </cell>
          <cell r="K16">
            <v>2301.2197200000001</v>
          </cell>
        </row>
        <row r="17">
          <cell r="B17" t="str">
            <v>1-1-802</v>
          </cell>
          <cell r="C17" t="str">
            <v>史健芳</v>
          </cell>
          <cell r="G17">
            <v>129.13</v>
          </cell>
          <cell r="K17">
            <v>2307.29484</v>
          </cell>
        </row>
        <row r="18">
          <cell r="B18" t="str">
            <v>1-1-901</v>
          </cell>
          <cell r="C18" t="str">
            <v>戴华</v>
          </cell>
          <cell r="G18">
            <v>128.79</v>
          </cell>
          <cell r="K18">
            <v>2318.2199999999998</v>
          </cell>
        </row>
        <row r="19">
          <cell r="B19" t="str">
            <v>1-1-902</v>
          </cell>
          <cell r="C19" t="str">
            <v>王超</v>
          </cell>
          <cell r="G19">
            <v>129.13</v>
          </cell>
          <cell r="K19">
            <v>2324.34</v>
          </cell>
        </row>
        <row r="20">
          <cell r="B20" t="str">
            <v>1-1-1001</v>
          </cell>
          <cell r="C20" t="str">
            <v>周哲宇</v>
          </cell>
          <cell r="G20">
            <v>128.79</v>
          </cell>
          <cell r="K20">
            <v>2335.22028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8B25-2C24-47CD-8DE5-15D28009C716}">
  <dimension ref="A1:M28"/>
  <sheetViews>
    <sheetView tabSelected="1" workbookViewId="0">
      <selection activeCell="G2" sqref="G2:G18"/>
    </sheetView>
  </sheetViews>
  <sheetFormatPr defaultRowHeight="14.15" x14ac:dyDescent="0.35"/>
  <cols>
    <col min="1" max="1" width="9" style="4" bestFit="1" customWidth="1"/>
    <col min="2" max="2" width="11" style="4" bestFit="1" customWidth="1"/>
    <col min="3" max="3" width="12.28515625" style="3" bestFit="1" customWidth="1"/>
    <col min="4" max="4" width="7.140625" style="4" bestFit="1" customWidth="1"/>
    <col min="5" max="5" width="8.5703125" bestFit="1" customWidth="1"/>
    <col min="6" max="6" width="14.42578125" bestFit="1" customWidth="1"/>
    <col min="7" max="7" width="8.5703125" bestFit="1" customWidth="1"/>
    <col min="8" max="9" width="10.5" bestFit="1" customWidth="1"/>
    <col min="10" max="10" width="8.5703125" bestFit="1" customWidth="1"/>
    <col min="11" max="11" width="9.85546875" customWidth="1"/>
    <col min="12" max="12" width="8.5703125" bestFit="1" customWidth="1"/>
    <col min="13" max="13" width="10.5" style="2" bestFit="1" customWidth="1"/>
  </cols>
  <sheetData>
    <row r="1" spans="1:13" x14ac:dyDescent="0.35">
      <c r="A1" s="4" t="s">
        <v>0</v>
      </c>
      <c r="B1" s="4" t="s">
        <v>1</v>
      </c>
      <c r="C1" s="3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 x14ac:dyDescent="0.35">
      <c r="A2" s="4" t="str">
        <f>[1]物业费收费明细!B4</f>
        <v>1-1-201</v>
      </c>
      <c r="B2" s="4" t="str">
        <f>[1]物业费收费明细!C4</f>
        <v>高露露</v>
      </c>
      <c r="C2" s="3">
        <v>13814755333</v>
      </c>
      <c r="D2" s="4">
        <f>[1]物业费收费明细!G4</f>
        <v>128.79</v>
      </c>
      <c r="E2" t="s">
        <v>13</v>
      </c>
      <c r="F2" s="1">
        <f>ROUND([1]物业费收费明细!K4/12,2)</f>
        <v>183.27</v>
      </c>
      <c r="G2" s="1">
        <f>F2*6</f>
        <v>1099.6200000000001</v>
      </c>
      <c r="H2" s="2">
        <v>45870</v>
      </c>
      <c r="I2" s="2">
        <v>46053</v>
      </c>
    </row>
    <row r="3" spans="1:13" x14ac:dyDescent="0.35">
      <c r="A3" s="4" t="str">
        <f>[1]物业费收费明细!B5</f>
        <v>1-1-202</v>
      </c>
      <c r="B3" s="4" t="str">
        <f>[1]物业费收费明细!C5</f>
        <v>刘铮铮</v>
      </c>
      <c r="C3" s="3">
        <v>13775235079</v>
      </c>
      <c r="D3" s="4">
        <f>[1]物业费收费明细!G5</f>
        <v>129.13</v>
      </c>
      <c r="E3" t="s">
        <v>13</v>
      </c>
      <c r="F3" s="1">
        <f>ROUND([1]物业费收费明细!K5/12,2)</f>
        <v>183.75</v>
      </c>
      <c r="G3" s="1">
        <f t="shared" ref="G3:G18" si="0">F3*6</f>
        <v>1102.5</v>
      </c>
      <c r="H3" s="2">
        <v>45870</v>
      </c>
      <c r="I3" s="2">
        <v>46053</v>
      </c>
    </row>
    <row r="4" spans="1:13" x14ac:dyDescent="0.35">
      <c r="A4" s="4" t="str">
        <f>[1]物业费收费明细!B6</f>
        <v>1-1-301</v>
      </c>
      <c r="B4" s="4" t="str">
        <f>[1]物业费收费明细!C6</f>
        <v>刘爱娟</v>
      </c>
      <c r="C4" s="3">
        <v>15312500982</v>
      </c>
      <c r="D4" s="4">
        <f>[1]物业费收费明细!G6</f>
        <v>128.79</v>
      </c>
      <c r="E4" t="s">
        <v>13</v>
      </c>
      <c r="F4" s="1">
        <f>ROUND([1]物业费收费明细!K6/12,2)</f>
        <v>184.68</v>
      </c>
      <c r="G4" s="1">
        <f t="shared" si="0"/>
        <v>1108.08</v>
      </c>
      <c r="H4" s="2">
        <v>45870</v>
      </c>
      <c r="I4" s="2">
        <v>46053</v>
      </c>
    </row>
    <row r="5" spans="1:13" x14ac:dyDescent="0.35">
      <c r="A5" s="4" t="str">
        <f>[1]物业费收费明细!B7</f>
        <v>1-1-302</v>
      </c>
      <c r="B5" s="4" t="str">
        <f>[1]物业费收费明细!C7</f>
        <v>余梅珍</v>
      </c>
      <c r="C5" s="3">
        <v>13961278176</v>
      </c>
      <c r="D5" s="4">
        <f>[1]物业费收费明细!G7</f>
        <v>129.13</v>
      </c>
      <c r="E5" t="s">
        <v>13</v>
      </c>
      <c r="F5" s="1">
        <f>ROUND([1]物业费收费明细!K7/12,2)</f>
        <v>185.17</v>
      </c>
      <c r="G5" s="1">
        <f t="shared" si="0"/>
        <v>1111.02</v>
      </c>
      <c r="H5" s="2">
        <v>45870</v>
      </c>
      <c r="I5" s="2">
        <v>46053</v>
      </c>
    </row>
    <row r="6" spans="1:13" x14ac:dyDescent="0.35">
      <c r="A6" s="4" t="str">
        <f>[1]物业费收费明细!B8</f>
        <v>1-1-401</v>
      </c>
      <c r="B6" s="4" t="str">
        <f>[1]物业费收费明细!C8</f>
        <v>陈敏 潘荣兵</v>
      </c>
      <c r="C6" s="3">
        <v>13915889977</v>
      </c>
      <c r="D6" s="4">
        <f>[1]物业费收费明细!G8</f>
        <v>128.79</v>
      </c>
      <c r="E6" t="s">
        <v>13</v>
      </c>
      <c r="F6" s="1">
        <f>ROUND([1]物业费收费明细!K8/12,2)</f>
        <v>186.1</v>
      </c>
      <c r="G6" s="1">
        <f t="shared" si="0"/>
        <v>1116.5999999999999</v>
      </c>
      <c r="H6" s="2">
        <v>45870</v>
      </c>
      <c r="I6" s="2">
        <v>46053</v>
      </c>
    </row>
    <row r="7" spans="1:13" x14ac:dyDescent="0.35">
      <c r="A7" s="4" t="str">
        <f>[1]物业费收费明细!B9</f>
        <v>1-1-402</v>
      </c>
      <c r="B7" s="4" t="str">
        <f>[1]物业费收费明细!C9</f>
        <v>刘阿生</v>
      </c>
      <c r="C7" s="3">
        <v>18021988925</v>
      </c>
      <c r="D7" s="4">
        <f>[1]物业费收费明细!G9</f>
        <v>129.13</v>
      </c>
      <c r="E7" t="s">
        <v>13</v>
      </c>
      <c r="F7" s="1">
        <f>ROUND([1]物业费收费明细!K9/12,2)</f>
        <v>186.59</v>
      </c>
      <c r="G7" s="1">
        <f t="shared" si="0"/>
        <v>1119.54</v>
      </c>
      <c r="H7" s="2">
        <v>45870</v>
      </c>
      <c r="I7" s="2">
        <v>46053</v>
      </c>
    </row>
    <row r="8" spans="1:13" x14ac:dyDescent="0.35">
      <c r="A8" s="4" t="str">
        <f>[1]物业费收费明细!B10</f>
        <v>1-1-501</v>
      </c>
      <c r="B8" s="4" t="str">
        <f>[1]物业费收费明细!C10</f>
        <v>宁科 蒋敏</v>
      </c>
      <c r="C8" s="3">
        <v>15851911398</v>
      </c>
      <c r="D8" s="4">
        <f>[1]物业费收费明细!G10</f>
        <v>128.79</v>
      </c>
      <c r="E8" t="s">
        <v>13</v>
      </c>
      <c r="F8" s="1">
        <f>ROUND([1]物业费收费明细!K10/12,2)</f>
        <v>187.52</v>
      </c>
      <c r="G8" s="1">
        <f t="shared" si="0"/>
        <v>1125.1200000000001</v>
      </c>
      <c r="H8" s="2">
        <v>45870</v>
      </c>
      <c r="I8" s="2">
        <v>46053</v>
      </c>
    </row>
    <row r="9" spans="1:13" x14ac:dyDescent="0.35">
      <c r="A9" s="4" t="str">
        <f>[1]物业费收费明细!B11</f>
        <v>1-1-502</v>
      </c>
      <c r="B9" s="4" t="str">
        <f>[1]物业费收费明细!C11</f>
        <v>蒋学军</v>
      </c>
      <c r="C9" s="3">
        <v>17712773716</v>
      </c>
      <c r="D9" s="4">
        <f>[1]物业费收费明细!G11</f>
        <v>129.13</v>
      </c>
      <c r="E9" t="s">
        <v>13</v>
      </c>
      <c r="F9" s="1">
        <f>ROUND([1]物业费收费明细!K11/12,2)</f>
        <v>188.01</v>
      </c>
      <c r="G9" s="1">
        <f t="shared" si="0"/>
        <v>1128.06</v>
      </c>
      <c r="H9" s="2">
        <v>45870</v>
      </c>
      <c r="I9" s="2">
        <v>46053</v>
      </c>
    </row>
    <row r="10" spans="1:13" x14ac:dyDescent="0.35">
      <c r="A10" s="4" t="str">
        <f>[1]物业费收费明细!B12</f>
        <v>1-1-601</v>
      </c>
      <c r="B10" s="4" t="str">
        <f>[1]物业费收费明细!C12</f>
        <v>夏林保*</v>
      </c>
      <c r="D10" s="4">
        <f>[1]物业费收费明细!G12</f>
        <v>128.79</v>
      </c>
      <c r="E10" t="s">
        <v>13</v>
      </c>
      <c r="F10" s="1">
        <f>ROUND([1]物业费收费明细!K12/12,2)</f>
        <v>188.93</v>
      </c>
      <c r="G10" s="1">
        <f t="shared" si="0"/>
        <v>1133.58</v>
      </c>
      <c r="H10" s="2">
        <v>45870</v>
      </c>
      <c r="I10" s="2">
        <v>46053</v>
      </c>
    </row>
    <row r="11" spans="1:13" x14ac:dyDescent="0.35">
      <c r="A11" s="4" t="str">
        <f>[1]物业费收费明细!B13</f>
        <v>1-1-602</v>
      </c>
      <c r="B11" s="4" t="str">
        <f>[1]物业费收费明细!C13</f>
        <v>陶荣福</v>
      </c>
      <c r="C11" s="3">
        <v>15190504386</v>
      </c>
      <c r="D11" s="4">
        <f>[1]物业费收费明细!G13</f>
        <v>129.13</v>
      </c>
      <c r="E11" t="s">
        <v>13</v>
      </c>
      <c r="F11" s="1">
        <f>ROUND([1]物业费收费明细!K13/12,2)</f>
        <v>189.43</v>
      </c>
      <c r="G11" s="1">
        <f t="shared" si="0"/>
        <v>1136.58</v>
      </c>
      <c r="H11" s="2">
        <v>45870</v>
      </c>
      <c r="I11" s="2">
        <v>46053</v>
      </c>
    </row>
    <row r="12" spans="1:13" x14ac:dyDescent="0.35">
      <c r="A12" s="4" t="str">
        <f>[1]物业费收费明细!B14</f>
        <v>1-1-701</v>
      </c>
      <c r="B12" s="4" t="str">
        <f>[1]物业费收费明细!C14</f>
        <v>戴朝琪*</v>
      </c>
      <c r="C12" s="3">
        <v>15195085267</v>
      </c>
      <c r="D12" s="4">
        <f>[1]物业费收费明细!G14</f>
        <v>128.79</v>
      </c>
      <c r="E12" t="s">
        <v>13</v>
      </c>
      <c r="F12" s="1">
        <f>ROUND([1]物业费收费明细!K14/12,2)</f>
        <v>190.35</v>
      </c>
      <c r="G12" s="1">
        <f t="shared" si="0"/>
        <v>1142.0999999999999</v>
      </c>
      <c r="H12" s="2">
        <v>45870</v>
      </c>
      <c r="I12" s="2">
        <v>46053</v>
      </c>
    </row>
    <row r="13" spans="1:13" x14ac:dyDescent="0.35">
      <c r="A13" s="4" t="str">
        <f>[1]物业费收费明细!B15</f>
        <v>1-1-702</v>
      </c>
      <c r="B13" s="4" t="str">
        <f>[1]物业费收费明细!C15</f>
        <v>石建芳</v>
      </c>
      <c r="C13" s="3">
        <v>13815096068</v>
      </c>
      <c r="D13" s="4">
        <f>[1]物业费收费明细!G15</f>
        <v>129.13</v>
      </c>
      <c r="E13" t="s">
        <v>13</v>
      </c>
      <c r="F13" s="1">
        <f>ROUND([1]物业费收费明细!K15/12,2)</f>
        <v>190.85</v>
      </c>
      <c r="G13" s="1">
        <f t="shared" si="0"/>
        <v>1145.0999999999999</v>
      </c>
      <c r="H13" s="2">
        <v>45870</v>
      </c>
      <c r="I13" s="2">
        <v>46053</v>
      </c>
    </row>
    <row r="14" spans="1:13" x14ac:dyDescent="0.35">
      <c r="A14" s="4" t="str">
        <f>[1]物业费收费明细!B16</f>
        <v>1-1-801</v>
      </c>
      <c r="B14" s="4" t="str">
        <f>[1]物业费收费明细!C16</f>
        <v>秦立平</v>
      </c>
      <c r="C14" s="3">
        <v>13961273842</v>
      </c>
      <c r="D14" s="4">
        <f>[1]物业费收费明细!G16</f>
        <v>128.79</v>
      </c>
      <c r="E14" t="s">
        <v>13</v>
      </c>
      <c r="F14" s="1">
        <f>ROUND([1]物业费收费明细!K16/12,2)</f>
        <v>191.77</v>
      </c>
      <c r="G14" s="1">
        <f t="shared" si="0"/>
        <v>1150.6200000000001</v>
      </c>
      <c r="H14" s="2">
        <v>45870</v>
      </c>
      <c r="I14" s="2">
        <v>46053</v>
      </c>
    </row>
    <row r="15" spans="1:13" x14ac:dyDescent="0.35">
      <c r="A15" s="4" t="str">
        <f>[1]物业费收费明细!B17</f>
        <v>1-1-802</v>
      </c>
      <c r="B15" s="4" t="str">
        <f>[1]物业费收费明细!C17</f>
        <v>史健芳</v>
      </c>
      <c r="C15" s="3">
        <v>13814779653</v>
      </c>
      <c r="D15" s="4">
        <f>[1]物业费收费明细!G17</f>
        <v>129.13</v>
      </c>
      <c r="E15" t="s">
        <v>13</v>
      </c>
      <c r="F15" s="1">
        <f>ROUND([1]物业费收费明细!K17/12,2)</f>
        <v>192.27</v>
      </c>
      <c r="G15" s="1">
        <f t="shared" si="0"/>
        <v>1153.6200000000001</v>
      </c>
      <c r="H15" s="2">
        <v>45870</v>
      </c>
      <c r="I15" s="2">
        <v>46053</v>
      </c>
    </row>
    <row r="16" spans="1:13" x14ac:dyDescent="0.35">
      <c r="A16" s="4" t="str">
        <f>[1]物业费收费明细!B18</f>
        <v>1-1-901</v>
      </c>
      <c r="B16" s="4" t="str">
        <f>[1]物业费收费明细!C18</f>
        <v>戴华</v>
      </c>
      <c r="C16" s="3">
        <v>13196448888</v>
      </c>
      <c r="D16" s="4">
        <f>[1]物业费收费明细!G18</f>
        <v>128.79</v>
      </c>
      <c r="E16" t="s">
        <v>13</v>
      </c>
      <c r="F16" s="1">
        <f>ROUND([1]物业费收费明细!K18/12,2)</f>
        <v>193.19</v>
      </c>
      <c r="G16" s="1">
        <f t="shared" si="0"/>
        <v>1159.1399999999999</v>
      </c>
      <c r="H16" s="2">
        <v>45870</v>
      </c>
      <c r="I16" s="2">
        <v>46053</v>
      </c>
    </row>
    <row r="17" spans="1:9" x14ac:dyDescent="0.35">
      <c r="A17" s="4" t="str">
        <f>[1]物业费收费明细!B19</f>
        <v>1-1-902</v>
      </c>
      <c r="B17" s="4" t="str">
        <f>[1]物业费收费明细!C19</f>
        <v>王超</v>
      </c>
      <c r="C17" s="3">
        <v>15861116056</v>
      </c>
      <c r="D17" s="4">
        <f>[1]物业费收费明细!G19</f>
        <v>129.13</v>
      </c>
      <c r="E17" t="s">
        <v>13</v>
      </c>
      <c r="F17" s="1">
        <f>ROUND([1]物业费收费明细!K19/12,2)</f>
        <v>193.7</v>
      </c>
      <c r="G17" s="1">
        <f t="shared" si="0"/>
        <v>1162.1999999999998</v>
      </c>
      <c r="H17" s="2">
        <v>45870</v>
      </c>
      <c r="I17" s="2">
        <v>46053</v>
      </c>
    </row>
    <row r="18" spans="1:9" x14ac:dyDescent="0.35">
      <c r="A18" s="4" t="str">
        <f>[1]物业费收费明细!B20</f>
        <v>1-1-1001</v>
      </c>
      <c r="B18" s="4" t="str">
        <f>[1]物业费收费明细!C20</f>
        <v>周哲宇</v>
      </c>
      <c r="C18" s="3">
        <v>13961485096</v>
      </c>
      <c r="D18" s="4">
        <f>[1]物业费收费明细!G20</f>
        <v>128.79</v>
      </c>
      <c r="E18" t="s">
        <v>13</v>
      </c>
      <c r="F18" s="1">
        <f>ROUND([1]物业费收费明细!K20/12,2)</f>
        <v>194.6</v>
      </c>
      <c r="G18" s="1">
        <f t="shared" si="0"/>
        <v>1167.5999999999999</v>
      </c>
      <c r="H18" s="2">
        <v>45870</v>
      </c>
      <c r="I18" s="2">
        <v>46053</v>
      </c>
    </row>
    <row r="19" spans="1:9" x14ac:dyDescent="0.35">
      <c r="F19" s="1"/>
      <c r="G19" s="1"/>
      <c r="H19" s="2"/>
      <c r="I19" s="2"/>
    </row>
    <row r="20" spans="1:9" x14ac:dyDescent="0.35">
      <c r="F20" s="1"/>
      <c r="G20" s="1"/>
      <c r="H20" s="2"/>
      <c r="I20" s="2"/>
    </row>
    <row r="21" spans="1:9" x14ac:dyDescent="0.35">
      <c r="F21" s="1"/>
      <c r="G21" s="1"/>
      <c r="H21" s="2"/>
      <c r="I21" s="2"/>
    </row>
    <row r="22" spans="1:9" x14ac:dyDescent="0.35">
      <c r="F22" s="1"/>
      <c r="G22" s="1"/>
      <c r="H22" s="2"/>
      <c r="I22" s="2"/>
    </row>
    <row r="23" spans="1:9" x14ac:dyDescent="0.35">
      <c r="F23" s="1"/>
      <c r="G23" s="1"/>
      <c r="H23" s="2"/>
      <c r="I23" s="2"/>
    </row>
    <row r="24" spans="1:9" x14ac:dyDescent="0.35">
      <c r="H24" s="2"/>
      <c r="I24" s="2"/>
    </row>
    <row r="25" spans="1:9" x14ac:dyDescent="0.35">
      <c r="H25" s="2"/>
      <c r="I25" s="2"/>
    </row>
    <row r="26" spans="1:9" x14ac:dyDescent="0.35">
      <c r="H26" s="2"/>
      <c r="I26" s="2"/>
    </row>
    <row r="27" spans="1:9" x14ac:dyDescent="0.35">
      <c r="H27" s="2"/>
      <c r="I27" s="2"/>
    </row>
    <row r="28" spans="1:9" x14ac:dyDescent="0.35">
      <c r="H28" s="2"/>
      <c r="I2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28B4-FB6F-4C3E-91EE-B19966F8967C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BFFD6-6924-4E45-8226-BE2E97DCE6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资源档案批量导入示例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Chan</dc:creator>
  <cp:lastModifiedBy>Jason Chan</cp:lastModifiedBy>
  <dcterms:created xsi:type="dcterms:W3CDTF">2026-01-14T07:29:14Z</dcterms:created>
  <dcterms:modified xsi:type="dcterms:W3CDTF">2026-01-14T07:39:38Z</dcterms:modified>
</cp:coreProperties>
</file>